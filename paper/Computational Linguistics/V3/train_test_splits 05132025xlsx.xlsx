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FAU PhD/Layer Cake/paper/Computational Linguistics/V3/"/>
    </mc:Choice>
  </mc:AlternateContent>
  <xr:revisionPtr revIDLastSave="108" documentId="8_{6A9985BE-FAE8-6347-A9C0-79D952D8E861}" xr6:coauthVersionLast="47" xr6:coauthVersionMax="47" xr10:uidLastSave="{CA4C01D1-489C-7D4E-99C8-5C0EE4EE5607}"/>
  <bookViews>
    <workbookView xWindow="4580" yWindow="5900" windowWidth="25540" windowHeight="17160" xr2:uid="{6454D248-7489-0E4A-97D8-479AAFEEF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25" i="1"/>
  <c r="J24" i="1"/>
  <c r="J23" i="1"/>
  <c r="J22" i="1"/>
  <c r="J21" i="1"/>
  <c r="J20" i="1"/>
  <c r="J19" i="1"/>
  <c r="J15" i="1"/>
  <c r="J14" i="1"/>
  <c r="J17" i="1"/>
  <c r="J11" i="1"/>
  <c r="J13" i="1"/>
  <c r="J16" i="1"/>
  <c r="J12" i="1"/>
  <c r="J18" i="1"/>
  <c r="F10" i="1"/>
  <c r="J10" i="1" s="1"/>
  <c r="F9" i="1"/>
  <c r="J9" i="1" s="1"/>
  <c r="F8" i="1"/>
  <c r="J8" i="1" s="1"/>
  <c r="F7" i="1"/>
  <c r="J7" i="1" s="1"/>
  <c r="F6" i="1"/>
  <c r="J6" i="1" s="1"/>
  <c r="F5" i="1"/>
  <c r="J5" i="1" s="1"/>
  <c r="F4" i="1"/>
  <c r="J4" i="1" s="1"/>
  <c r="J3" i="1"/>
</calcChain>
</file>

<file path=xl/sharedStrings.xml><?xml version="1.0" encoding="utf-8"?>
<sst xmlns="http://schemas.openxmlformats.org/spreadsheetml/2006/main" count="68" uniqueCount="23">
  <si>
    <t>Dataset</t>
  </si>
  <si>
    <t>Train</t>
  </si>
  <si>
    <t>Test</t>
  </si>
  <si>
    <t>bbc-news</t>
  </si>
  <si>
    <t>Docs</t>
  </si>
  <si>
    <t>Classifier Type</t>
  </si>
  <si>
    <t>ML</t>
  </si>
  <si>
    <t>arxiv_protoformer</t>
  </si>
  <si>
    <t>rcv1</t>
  </si>
  <si>
    <t>reuters21578</t>
  </si>
  <si>
    <t>20newsgroups</t>
  </si>
  <si>
    <t>arxiv</t>
  </si>
  <si>
    <t>imdb</t>
  </si>
  <si>
    <t>ohsumed</t>
  </si>
  <si>
    <t>Type</t>
  </si>
  <si>
    <t>Classes</t>
  </si>
  <si>
    <t>multi-label</t>
  </si>
  <si>
    <t>single-label</t>
  </si>
  <si>
    <t>Train-Test Split</t>
  </si>
  <si>
    <t>Val</t>
  </si>
  <si>
    <t>DL (static-word)</t>
  </si>
  <si>
    <t>DL (dynamic-transfomers)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</si>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</sst>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0" fontId="0" fillId="0" borderId="0" xfId="0" applyNumberFormat="1"/>
    <xf numFmtId="0" fontId="0" fillId="0" borderId="2" xfId="0" applyBorder="1"/>
    <xf numFmtId="10" fontId="0" fillId="0" borderId="3" xfId="0" applyNumberFormat="1" applyBorder="1"/>
    <xf numFmtId="10" fontId="0" fillId="0" borderId="5" xfId="0" applyNumberFormat="1" applyBorder="1"/>
    <xf numFmtId="0" fontId="0" fillId="0" borderId="7" xfId="0" applyBorder="1"/>
    <xf numFmtId="10" fontId="0" fillId="0" borderId="8" xfId="0" applyNumberFormat="1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3" fontId="0" fillId="0" borderId="2" xfId="0" applyNumberFormat="1" applyBorder="1"/>
    <xf numFmtId="3" fontId="0" fillId="0" borderId="2" xfId="0" applyNumberFormat="1" applyBorder="1" applyAlignment="1">
      <alignment horizontal="right"/>
    </xf>
    <xf numFmtId="3" fontId="0" fillId="0" borderId="0" xfId="0" applyNumberFormat="1"/>
    <xf numFmtId="3" fontId="0" fillId="0" borderId="7" xfId="0" applyNumberFormat="1" applyBorder="1"/>
    <xf numFmtId="3" fontId="0" fillId="0" borderId="7" xfId="0" applyNumberFormat="1" applyBorder="1" applyAlignment="1">
      <alignment horizontal="right"/>
    </xf>
    <xf numFmtId="0" fontId="0" fillId="0" borderId="1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0" fontId="0" fillId="0" borderId="0" xfId="0" applyBorder="1"/>
    <xf numFmtId="3" fontId="0" fillId="0" borderId="0" xfId="0" applyNumberFormat="1" applyBorder="1"/>
    <xf numFmtId="3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F197-B3B1-054C-A0B8-3F2BF50EBC1B}">
  <dimension ref="B1:N26"/>
  <sheetViews>
    <sheetView tabSelected="1" workbookViewId="0">
      <selection activeCell="H33" sqref="H33"/>
    </sheetView>
  </sheetViews>
  <sheetFormatPr baseColWidth="10" defaultRowHeight="16" x14ac:dyDescent="0.2"/>
  <cols>
    <col min="2" max="2" width="22.5" bestFit="1" customWidth="1"/>
    <col min="3" max="3" width="15.5" bestFit="1" customWidth="1"/>
    <col min="4" max="4" width="15.5" customWidth="1"/>
    <col min="5" max="5" width="7.5" bestFit="1" customWidth="1"/>
    <col min="10" max="10" width="15.5" style="1" customWidth="1"/>
  </cols>
  <sheetData>
    <row r="1" spans="2:10" ht="17" thickBot="1" x14ac:dyDescent="0.25"/>
    <row r="2" spans="2:10" s="18" customFormat="1" ht="17" thickBot="1" x14ac:dyDescent="0.25">
      <c r="B2" s="19" t="s">
        <v>5</v>
      </c>
      <c r="C2" s="20" t="s">
        <v>0</v>
      </c>
      <c r="D2" s="20" t="s">
        <v>14</v>
      </c>
      <c r="E2" s="20" t="s">
        <v>15</v>
      </c>
      <c r="F2" s="20" t="s">
        <v>4</v>
      </c>
      <c r="G2" s="20" t="s">
        <v>1</v>
      </c>
      <c r="H2" s="20" t="s">
        <v>19</v>
      </c>
      <c r="I2" s="20" t="s">
        <v>2</v>
      </c>
      <c r="J2" s="21" t="s">
        <v>18</v>
      </c>
    </row>
    <row r="3" spans="2:10" x14ac:dyDescent="0.2">
      <c r="B3" s="15" t="s">
        <v>6</v>
      </c>
      <c r="C3" s="2" t="s">
        <v>3</v>
      </c>
      <c r="D3" s="2" t="s">
        <v>17</v>
      </c>
      <c r="E3" s="2">
        <v>5</v>
      </c>
      <c r="F3" s="10">
        <v>1490</v>
      </c>
      <c r="G3" s="10">
        <v>1229</v>
      </c>
      <c r="H3" s="11" t="s">
        <v>22</v>
      </c>
      <c r="I3" s="10">
        <v>261</v>
      </c>
      <c r="J3" s="3">
        <f t="shared" ref="J3:J10" si="0">G3/F3</f>
        <v>0.82483221476510071</v>
      </c>
    </row>
    <row r="4" spans="2:10" x14ac:dyDescent="0.2">
      <c r="B4" s="16"/>
      <c r="C4" s="22" t="s">
        <v>7</v>
      </c>
      <c r="D4" s="22" t="s">
        <v>17</v>
      </c>
      <c r="E4" s="22">
        <v>10</v>
      </c>
      <c r="F4" s="23">
        <f t="shared" ref="F4:F10" si="1">G4+I4</f>
        <v>100000</v>
      </c>
      <c r="G4" s="23">
        <v>82500</v>
      </c>
      <c r="H4" s="24" t="s">
        <v>22</v>
      </c>
      <c r="I4" s="23">
        <v>17500</v>
      </c>
      <c r="J4" s="4">
        <f t="shared" si="0"/>
        <v>0.82499999999999996</v>
      </c>
    </row>
    <row r="5" spans="2:10" x14ac:dyDescent="0.2">
      <c r="B5" s="16"/>
      <c r="C5" s="22" t="s">
        <v>8</v>
      </c>
      <c r="D5" s="22" t="s">
        <v>16</v>
      </c>
      <c r="E5" s="22">
        <v>101</v>
      </c>
      <c r="F5" s="23">
        <f t="shared" si="1"/>
        <v>804414</v>
      </c>
      <c r="G5" s="23">
        <v>23149</v>
      </c>
      <c r="H5" s="24" t="s">
        <v>22</v>
      </c>
      <c r="I5" s="23">
        <v>781265</v>
      </c>
      <c r="J5" s="4">
        <f t="shared" si="0"/>
        <v>2.8777470307577938E-2</v>
      </c>
    </row>
    <row r="6" spans="2:10" x14ac:dyDescent="0.2">
      <c r="B6" s="16"/>
      <c r="C6" s="22" t="s">
        <v>9</v>
      </c>
      <c r="D6" s="22" t="s">
        <v>16</v>
      </c>
      <c r="E6" s="22">
        <v>115</v>
      </c>
      <c r="F6" s="23">
        <f t="shared" si="1"/>
        <v>12902</v>
      </c>
      <c r="G6" s="23">
        <v>9603</v>
      </c>
      <c r="H6" s="24" t="s">
        <v>22</v>
      </c>
      <c r="I6" s="23">
        <v>3299</v>
      </c>
      <c r="J6" s="4">
        <f t="shared" si="0"/>
        <v>0.74430320880483647</v>
      </c>
    </row>
    <row r="7" spans="2:10" x14ac:dyDescent="0.2">
      <c r="B7" s="16"/>
      <c r="C7" s="22" t="s">
        <v>10</v>
      </c>
      <c r="D7" s="22" t="s">
        <v>17</v>
      </c>
      <c r="E7" s="22">
        <v>20</v>
      </c>
      <c r="F7" s="23">
        <f t="shared" si="1"/>
        <v>18846</v>
      </c>
      <c r="G7" s="23">
        <v>11314</v>
      </c>
      <c r="H7" s="24" t="s">
        <v>22</v>
      </c>
      <c r="I7" s="23">
        <v>7532</v>
      </c>
      <c r="J7" s="4">
        <f t="shared" si="0"/>
        <v>0.6003395946089356</v>
      </c>
    </row>
    <row r="8" spans="2:10" x14ac:dyDescent="0.2">
      <c r="B8" s="16"/>
      <c r="C8" s="22" t="s">
        <v>11</v>
      </c>
      <c r="D8" s="22" t="s">
        <v>16</v>
      </c>
      <c r="E8" s="22">
        <v>58</v>
      </c>
      <c r="F8" s="23">
        <f t="shared" si="1"/>
        <v>14500</v>
      </c>
      <c r="G8" s="23">
        <v>11962</v>
      </c>
      <c r="H8" s="24" t="s">
        <v>22</v>
      </c>
      <c r="I8" s="23">
        <v>2538</v>
      </c>
      <c r="J8" s="4">
        <f t="shared" si="0"/>
        <v>0.82496551724137934</v>
      </c>
    </row>
    <row r="9" spans="2:10" x14ac:dyDescent="0.2">
      <c r="B9" s="16"/>
      <c r="C9" s="22" t="s">
        <v>12</v>
      </c>
      <c r="D9" s="22" t="s">
        <v>17</v>
      </c>
      <c r="E9" s="22">
        <v>2</v>
      </c>
      <c r="F9" s="23">
        <f t="shared" si="1"/>
        <v>50000</v>
      </c>
      <c r="G9" s="23">
        <v>25000</v>
      </c>
      <c r="H9" s="24" t="s">
        <v>22</v>
      </c>
      <c r="I9" s="23">
        <v>25000</v>
      </c>
      <c r="J9" s="4">
        <f t="shared" si="0"/>
        <v>0.5</v>
      </c>
    </row>
    <row r="10" spans="2:10" ht="17" thickBot="1" x14ac:dyDescent="0.25">
      <c r="B10" s="17"/>
      <c r="C10" s="5" t="s">
        <v>13</v>
      </c>
      <c r="D10" s="5" t="s">
        <v>16</v>
      </c>
      <c r="E10" s="5">
        <v>23</v>
      </c>
      <c r="F10" s="13">
        <f t="shared" si="1"/>
        <v>34389</v>
      </c>
      <c r="G10" s="13">
        <v>24061</v>
      </c>
      <c r="H10" s="14" t="s">
        <v>22</v>
      </c>
      <c r="I10" s="13">
        <v>10328</v>
      </c>
      <c r="J10" s="6">
        <f t="shared" si="0"/>
        <v>0.6996714065544215</v>
      </c>
    </row>
    <row r="11" spans="2:10" x14ac:dyDescent="0.2">
      <c r="B11" s="7" t="s">
        <v>20</v>
      </c>
      <c r="C11" s="2" t="s">
        <v>3</v>
      </c>
      <c r="D11" s="2" t="s">
        <v>17</v>
      </c>
      <c r="E11" s="2">
        <v>5</v>
      </c>
      <c r="F11" s="10">
        <v>1490</v>
      </c>
      <c r="G11" s="10">
        <v>984</v>
      </c>
      <c r="H11" s="10">
        <v>245</v>
      </c>
      <c r="I11" s="10">
        <v>261</v>
      </c>
      <c r="J11" s="3">
        <f t="shared" ref="J11:J26" si="2">(G11+H11)/F11</f>
        <v>0.82483221476510071</v>
      </c>
    </row>
    <row r="12" spans="2:10" x14ac:dyDescent="0.2">
      <c r="B12" s="8"/>
      <c r="C12" s="22" t="s">
        <v>7</v>
      </c>
      <c r="D12" s="22" t="s">
        <v>17</v>
      </c>
      <c r="E12" s="22">
        <v>10</v>
      </c>
      <c r="F12" s="23">
        <v>100000</v>
      </c>
      <c r="G12" s="23">
        <v>66000</v>
      </c>
      <c r="H12" s="23">
        <v>16500</v>
      </c>
      <c r="I12" s="23">
        <v>17500</v>
      </c>
      <c r="J12" s="4">
        <f t="shared" si="2"/>
        <v>0.82499999999999996</v>
      </c>
    </row>
    <row r="13" spans="2:10" x14ac:dyDescent="0.2">
      <c r="B13" s="8"/>
      <c r="C13" s="22" t="s">
        <v>8</v>
      </c>
      <c r="D13" s="22" t="s">
        <v>16</v>
      </c>
      <c r="E13" s="22">
        <v>101</v>
      </c>
      <c r="F13" s="23">
        <v>804414</v>
      </c>
      <c r="G13" s="23">
        <v>18520</v>
      </c>
      <c r="H13" s="23">
        <v>4629</v>
      </c>
      <c r="I13" s="23">
        <v>781265</v>
      </c>
      <c r="J13" s="4">
        <f t="shared" si="2"/>
        <v>2.8777470307577938E-2</v>
      </c>
    </row>
    <row r="14" spans="2:10" x14ac:dyDescent="0.2">
      <c r="B14" s="8"/>
      <c r="C14" s="22" t="s">
        <v>9</v>
      </c>
      <c r="D14" s="22" t="s">
        <v>16</v>
      </c>
      <c r="E14" s="22">
        <v>115</v>
      </c>
      <c r="F14" s="23">
        <v>12902</v>
      </c>
      <c r="G14" s="23">
        <v>7683</v>
      </c>
      <c r="H14" s="23">
        <v>1920</v>
      </c>
      <c r="I14" s="23">
        <v>3299</v>
      </c>
      <c r="J14" s="4">
        <f t="shared" si="2"/>
        <v>0.74430320880483647</v>
      </c>
    </row>
    <row r="15" spans="2:10" x14ac:dyDescent="0.2">
      <c r="B15" s="8"/>
      <c r="C15" s="22" t="s">
        <v>10</v>
      </c>
      <c r="D15" s="22" t="s">
        <v>17</v>
      </c>
      <c r="E15" s="22">
        <v>20</v>
      </c>
      <c r="F15" s="23">
        <v>18846</v>
      </c>
      <c r="G15" s="23">
        <v>9052</v>
      </c>
      <c r="H15" s="23">
        <v>2262</v>
      </c>
      <c r="I15" s="23">
        <v>7532</v>
      </c>
      <c r="J15" s="4">
        <f t="shared" si="2"/>
        <v>0.6003395946089356</v>
      </c>
    </row>
    <row r="16" spans="2:10" x14ac:dyDescent="0.2">
      <c r="B16" s="8"/>
      <c r="C16" s="22" t="s">
        <v>11</v>
      </c>
      <c r="D16" s="22" t="s">
        <v>16</v>
      </c>
      <c r="E16" s="22">
        <v>58</v>
      </c>
      <c r="F16" s="23">
        <v>14500</v>
      </c>
      <c r="G16" s="23">
        <v>9570</v>
      </c>
      <c r="H16" s="23">
        <v>2392</v>
      </c>
      <c r="I16" s="23">
        <v>2538</v>
      </c>
      <c r="J16" s="4">
        <f t="shared" si="2"/>
        <v>0.82496551724137934</v>
      </c>
    </row>
    <row r="17" spans="2:14" x14ac:dyDescent="0.2">
      <c r="B17" s="8"/>
      <c r="C17" s="22" t="s">
        <v>12</v>
      </c>
      <c r="D17" s="22" t="s">
        <v>17</v>
      </c>
      <c r="E17" s="22">
        <v>2</v>
      </c>
      <c r="F17" s="23">
        <v>50000</v>
      </c>
      <c r="G17" s="23">
        <v>20000</v>
      </c>
      <c r="H17" s="23">
        <v>5000</v>
      </c>
      <c r="I17" s="23">
        <v>25000</v>
      </c>
      <c r="J17" s="4">
        <f t="shared" si="2"/>
        <v>0.5</v>
      </c>
    </row>
    <row r="18" spans="2:14" ht="17" thickBot="1" x14ac:dyDescent="0.25">
      <c r="B18" s="9"/>
      <c r="C18" s="5" t="s">
        <v>13</v>
      </c>
      <c r="D18" s="5" t="s">
        <v>16</v>
      </c>
      <c r="E18" s="5">
        <v>23</v>
      </c>
      <c r="F18" s="13">
        <v>34389</v>
      </c>
      <c r="G18" s="13">
        <v>19249</v>
      </c>
      <c r="H18" s="13">
        <v>4812</v>
      </c>
      <c r="I18" s="13">
        <v>10328</v>
      </c>
      <c r="J18" s="6">
        <f t="shared" si="2"/>
        <v>0.6996714065544215</v>
      </c>
      <c r="M18" s="12"/>
    </row>
    <row r="19" spans="2:14" x14ac:dyDescent="0.2">
      <c r="B19" s="8" t="s">
        <v>21</v>
      </c>
      <c r="C19" s="22" t="s">
        <v>3</v>
      </c>
      <c r="D19" s="22" t="s">
        <v>17</v>
      </c>
      <c r="E19" s="22">
        <v>5</v>
      </c>
      <c r="F19" s="23">
        <v>1490</v>
      </c>
      <c r="G19" s="23">
        <v>1014</v>
      </c>
      <c r="H19" s="23">
        <v>215</v>
      </c>
      <c r="I19" s="23">
        <v>261</v>
      </c>
      <c r="J19" s="3">
        <f t="shared" si="2"/>
        <v>0.82483221476510071</v>
      </c>
    </row>
    <row r="20" spans="2:14" x14ac:dyDescent="0.2">
      <c r="B20" s="8"/>
      <c r="C20" s="22" t="s">
        <v>7</v>
      </c>
      <c r="D20" s="22" t="s">
        <v>17</v>
      </c>
      <c r="E20" s="22">
        <v>10</v>
      </c>
      <c r="F20" s="23">
        <v>100000</v>
      </c>
      <c r="G20" s="23">
        <v>68063</v>
      </c>
      <c r="H20" s="22">
        <v>14437</v>
      </c>
      <c r="I20" s="23">
        <v>17500</v>
      </c>
      <c r="J20" s="4">
        <f t="shared" si="2"/>
        <v>0.82499999999999996</v>
      </c>
      <c r="M20" s="12"/>
      <c r="N20" s="12"/>
    </row>
    <row r="21" spans="2:14" x14ac:dyDescent="0.2">
      <c r="B21" s="8"/>
      <c r="C21" s="22" t="s">
        <v>8</v>
      </c>
      <c r="D21" s="22" t="s">
        <v>16</v>
      </c>
      <c r="E21" s="22">
        <v>101</v>
      </c>
      <c r="F21" s="23">
        <v>804414</v>
      </c>
      <c r="G21" s="23">
        <v>19098</v>
      </c>
      <c r="H21" s="23">
        <v>4051</v>
      </c>
      <c r="I21" s="23">
        <v>781265</v>
      </c>
      <c r="J21" s="4">
        <f t="shared" si="2"/>
        <v>2.8777470307577938E-2</v>
      </c>
      <c r="M21" s="12"/>
    </row>
    <row r="22" spans="2:14" x14ac:dyDescent="0.2">
      <c r="B22" s="8"/>
      <c r="C22" s="22" t="s">
        <v>9</v>
      </c>
      <c r="D22" s="22" t="s">
        <v>16</v>
      </c>
      <c r="E22" s="22">
        <v>115</v>
      </c>
      <c r="F22" s="23">
        <v>12902</v>
      </c>
      <c r="G22" s="23">
        <v>7923</v>
      </c>
      <c r="H22" s="23">
        <v>1680</v>
      </c>
      <c r="I22" s="23">
        <v>3299</v>
      </c>
      <c r="J22" s="4">
        <f t="shared" si="2"/>
        <v>0.74430320880483647</v>
      </c>
      <c r="M22" s="12"/>
    </row>
    <row r="23" spans="2:14" x14ac:dyDescent="0.2">
      <c r="B23" s="8"/>
      <c r="C23" s="22" t="s">
        <v>10</v>
      </c>
      <c r="D23" s="22" t="s">
        <v>17</v>
      </c>
      <c r="E23" s="22">
        <v>20</v>
      </c>
      <c r="F23" s="23">
        <v>18846</v>
      </c>
      <c r="G23" s="23">
        <v>9335</v>
      </c>
      <c r="H23" s="23">
        <v>1979</v>
      </c>
      <c r="I23" s="23">
        <v>7532</v>
      </c>
      <c r="J23" s="4">
        <f t="shared" si="2"/>
        <v>0.6003395946089356</v>
      </c>
      <c r="M23" s="12"/>
    </row>
    <row r="24" spans="2:14" x14ac:dyDescent="0.2">
      <c r="B24" s="8"/>
      <c r="C24" s="22" t="s">
        <v>11</v>
      </c>
      <c r="D24" s="22" t="s">
        <v>16</v>
      </c>
      <c r="E24" s="22">
        <v>58</v>
      </c>
      <c r="F24" s="23">
        <v>14500</v>
      </c>
      <c r="G24" s="23">
        <v>9869</v>
      </c>
      <c r="H24" s="23">
        <v>2093</v>
      </c>
      <c r="I24" s="23">
        <v>2538</v>
      </c>
      <c r="J24" s="4">
        <f t="shared" si="2"/>
        <v>0.82496551724137934</v>
      </c>
      <c r="M24" s="12"/>
    </row>
    <row r="25" spans="2:14" x14ac:dyDescent="0.2">
      <c r="B25" s="8"/>
      <c r="C25" s="22" t="s">
        <v>12</v>
      </c>
      <c r="D25" s="22" t="s">
        <v>17</v>
      </c>
      <c r="E25" s="22">
        <v>2</v>
      </c>
      <c r="F25" s="23">
        <v>50000</v>
      </c>
      <c r="G25" s="23">
        <v>20625</v>
      </c>
      <c r="H25" s="23">
        <v>4375</v>
      </c>
      <c r="I25" s="23">
        <v>25000</v>
      </c>
      <c r="J25" s="4">
        <f t="shared" si="2"/>
        <v>0.5</v>
      </c>
      <c r="L25" s="12"/>
    </row>
    <row r="26" spans="2:14" ht="17" thickBot="1" x14ac:dyDescent="0.25">
      <c r="B26" s="9"/>
      <c r="C26" s="5" t="s">
        <v>13</v>
      </c>
      <c r="D26" s="5" t="s">
        <v>16</v>
      </c>
      <c r="E26" s="5">
        <v>23</v>
      </c>
      <c r="F26" s="13">
        <v>34389</v>
      </c>
      <c r="G26" s="5">
        <v>19851</v>
      </c>
      <c r="H26" s="5">
        <v>4210</v>
      </c>
      <c r="I26" s="5">
        <v>10328</v>
      </c>
      <c r="J26" s="6">
        <f t="shared" si="2"/>
        <v>0.6996714065544215</v>
      </c>
    </row>
  </sheetData>
  <mergeCells count="1">
    <mergeCell ref="B3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Worth</dc:creator>
  <cp:lastModifiedBy>Peter Worth</cp:lastModifiedBy>
  <dcterms:created xsi:type="dcterms:W3CDTF">2025-05-13T11:36:31Z</dcterms:created>
  <dcterms:modified xsi:type="dcterms:W3CDTF">2025-05-13T14:16:08Z</dcterms:modified>
</cp:coreProperties>
</file>